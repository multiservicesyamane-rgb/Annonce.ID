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0 Produits" sheetId="1" state="visible" r:id="rId3"/>
    <sheet name="Résumé &amp; Conseil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<sst xmlns="http://schemas.openxmlformats.org/spreadsheetml/2006/main" count="232" uniqueCount="194">
  <si>
    <t xml:space="preserve">🛒  50 PRODUITS TENDANCE — CHINE → SÉNÉGAL</t>
  </si>
  <si>
    <t xml:space="preserve">Produits à fort potentiel | Fournisseurs Alibaba &amp; Sénégal | Analyse prix &amp; marges</t>
  </si>
  <si>
    <t xml:space="preserve">N°</t>
  </si>
  <si>
    <t xml:space="preserve">Produit</t>
  </si>
  <si>
    <t xml:space="preserve">Problème Résolu</t>
  </si>
  <si>
    <t xml:space="preserve">Achat Chine (FCFA)</t>
  </si>
  <si>
    <t xml:space="preserve">Vente SN (FCFA)</t>
  </si>
  <si>
    <t xml:space="preserve">Marge Estimée</t>
  </si>
  <si>
    <t xml:space="preserve">Fournisseur Alibaba</t>
  </si>
  <si>
    <t xml:space="preserve">Fournisseur Sénégal</t>
  </si>
  <si>
    <t xml:space="preserve">Tensiomètre connecté au poignet</t>
  </si>
  <si>
    <t xml:space="preserve">Hypertension non détectée</t>
  </si>
  <si>
    <t xml:space="preserve">Shenzhen Contec Medical</t>
  </si>
  <si>
    <t xml:space="preserve">Pharmacies / Dakar Médical</t>
  </si>
  <si>
    <t xml:space="preserve">Oxymètre de pouls SpO2</t>
  </si>
  <si>
    <t xml:space="preserve">Saturation O2 inconnue</t>
  </si>
  <si>
    <t xml:space="preserve">Jumper Medical Equipment</t>
  </si>
  <si>
    <t xml:space="preserve">Pharmacies Dakar</t>
  </si>
  <si>
    <t xml:space="preserve">Thermomètre infrarouge frontal</t>
  </si>
  <si>
    <t xml:space="preserve">Fièvre difficile à mesurer</t>
  </si>
  <si>
    <t xml:space="preserve">Guangzhou Ticare</t>
  </si>
  <si>
    <t xml:space="preserve">GMC Electronique</t>
  </si>
  <si>
    <t xml:space="preserve">Masseur cervical électrique EMS</t>
  </si>
  <si>
    <t xml:space="preserve">Douleurs cou / épaules</t>
  </si>
  <si>
    <t xml:space="preserve">Dongguan Jinkairui</t>
  </si>
  <si>
    <t xml:space="preserve">Jumia Sénégal</t>
  </si>
  <si>
    <t xml:space="preserve">Ceinture chauffante abdominale</t>
  </si>
  <si>
    <t xml:space="preserve">Douleurs règles / dos</t>
  </si>
  <si>
    <t xml:space="preserve">Shenzhen Libo Electronic</t>
  </si>
  <si>
    <t xml:space="preserve">Stylo détecteur billets faux</t>
  </si>
  <si>
    <t xml:space="preserve">Faux billets FCFA</t>
  </si>
  <si>
    <t xml:space="preserve">Guangdong Deli Stationery</t>
  </si>
  <si>
    <t xml:space="preserve">Marché Sandaga Dakar</t>
  </si>
  <si>
    <t xml:space="preserve">Testeur qualité eau TDS meter</t>
  </si>
  <si>
    <t xml:space="preserve">Eau non potable</t>
  </si>
  <si>
    <t xml:space="preserve">Shenzhen Icare</t>
  </si>
  <si>
    <t xml:space="preserve">Quincailleries Dakar</t>
  </si>
  <si>
    <t xml:space="preserve">Détecteur de métaux portable</t>
  </si>
  <si>
    <t xml:space="preserve">Sécurité / prospection</t>
  </si>
  <si>
    <t xml:space="preserve">Garrett Metal Detectors CN</t>
  </si>
  <si>
    <t xml:space="preserve">Non disponible SN ⚡</t>
  </si>
  <si>
    <t xml:space="preserve">Mini microscope numérique USB</t>
  </si>
  <si>
    <t xml:space="preserve">Inspection précise</t>
  </si>
  <si>
    <t xml:space="preserve">Shenzhen Hayear</t>
  </si>
  <si>
    <t xml:space="preserve">Endoscope WiFi 1080p</t>
  </si>
  <si>
    <t xml:space="preserve">Inspection tuyaux / voiture</t>
  </si>
  <si>
    <t xml:space="preserve">Shenzhen Teslong</t>
  </si>
  <si>
    <t xml:space="preserve">Prise connectée WiFi + compteur énergie</t>
  </si>
  <si>
    <t xml:space="preserve">Gaspillage électricité</t>
  </si>
  <si>
    <t xml:space="preserve">Shenzhen Sonoff (ITEAD)</t>
  </si>
  <si>
    <t xml:space="preserve">Dakar Informatique</t>
  </si>
  <si>
    <t xml:space="preserve">Détecteur fuite d'eau intelligent</t>
  </si>
  <si>
    <t xml:space="preserve">Dégâts d'eau cachés</t>
  </si>
  <si>
    <t xml:space="preserve">Shenzhen NEO Coolcam</t>
  </si>
  <si>
    <t xml:space="preserve">Serrure connectée empreinte digitale</t>
  </si>
  <si>
    <t xml:space="preserve">Clés perdues / sécurité</t>
  </si>
  <si>
    <t xml:space="preserve">Shenzhen DESSMANN</t>
  </si>
  <si>
    <t xml:space="preserve">Quincailleries haut gamme</t>
  </si>
  <si>
    <t xml:space="preserve">Purificateur d'air portable USB</t>
  </si>
  <si>
    <t xml:space="preserve">Pollution intérieure</t>
  </si>
  <si>
    <t xml:space="preserve">Guangzhou Airdog</t>
  </si>
  <si>
    <t xml:space="preserve">Capteur temp/humidité WiFi</t>
  </si>
  <si>
    <t xml:space="preserve">Conditions maison incontrôlées</t>
  </si>
  <si>
    <t xml:space="preserve">Xiaomi Ecosystem (Aqara)</t>
  </si>
  <si>
    <t xml:space="preserve">Panneau solaire portable pliable 100W</t>
  </si>
  <si>
    <t xml:space="preserve">Coupures électricité</t>
  </si>
  <si>
    <t xml:space="preserve">Shenzhen Renogy CN</t>
  </si>
  <si>
    <t xml:space="preserve">Solaire Sénégal SA</t>
  </si>
  <si>
    <t xml:space="preserve">Station énergie portable 500Wh</t>
  </si>
  <si>
    <t xml:space="preserve">Blackout / camping</t>
  </si>
  <si>
    <t xml:space="preserve">Shenzhen EcoFlow</t>
  </si>
  <si>
    <t xml:space="preserve">Chargeur sans fil 3-en-1</t>
  </si>
  <si>
    <t xml:space="preserve">Câbles partout</t>
  </si>
  <si>
    <t xml:space="preserve">Shenzhen Baseus</t>
  </si>
  <si>
    <t xml:space="preserve">Câble charge rapide 3-en-1 rétractable</t>
  </si>
  <si>
    <t xml:space="preserve">Câbles cassés</t>
  </si>
  <si>
    <t xml:space="preserve">Guangdong Mcdodo</t>
  </si>
  <si>
    <t xml:space="preserve">Marché Colobane</t>
  </si>
  <si>
    <t xml:space="preserve">Batterie magnétique MagSafe 10000mAh</t>
  </si>
  <si>
    <t xml:space="preserve">Batterie insuffisante</t>
  </si>
  <si>
    <t xml:space="preserve">Support téléphone magnétique voiture</t>
  </si>
  <si>
    <t xml:space="preserve">Téléphone mal fixé en voiture</t>
  </si>
  <si>
    <t xml:space="preserve">Shenzhen Nillkin</t>
  </si>
  <si>
    <t xml:space="preserve">Adaptateur OTG multiport USB-C</t>
  </si>
  <si>
    <t xml:space="preserve">Pas assez de ports</t>
  </si>
  <si>
    <t xml:space="preserve">Shenzhen Uni-T</t>
  </si>
  <si>
    <t xml:space="preserve">Mini ventilateur refroidisseur gaming</t>
  </si>
  <si>
    <t xml:space="preserve">Surchauffe téléphone gaming</t>
  </si>
  <si>
    <t xml:space="preserve">Shenzhen Black Shark CN</t>
  </si>
  <si>
    <t xml:space="preserve">Kit protection écran automatique</t>
  </si>
  <si>
    <t xml:space="preserve">Écran cassé à l'installation</t>
  </si>
  <si>
    <t xml:space="preserve">Guangdong Nillkin</t>
  </si>
  <si>
    <t xml:space="preserve">Traceur GPS miniature sans abonnement</t>
  </si>
  <si>
    <t xml:space="preserve">Objets perdus / volés</t>
  </si>
  <si>
    <t xml:space="preserve">Shenzhen Concox</t>
  </si>
  <si>
    <t xml:space="preserve">Cadenas empreinte digitale</t>
  </si>
  <si>
    <t xml:space="preserve">Clés perdues</t>
  </si>
  <si>
    <t xml:space="preserve">Shenzhen OKLOK</t>
  </si>
  <si>
    <t xml:space="preserve">Dashcam 4K avant/arrière WiFi</t>
  </si>
  <si>
    <t xml:space="preserve">Accidents sans preuve</t>
  </si>
  <si>
    <t xml:space="preserve">Shenzhen Vantrue</t>
  </si>
  <si>
    <t xml:space="preserve">Adaptateur universel de voyage</t>
  </si>
  <si>
    <t xml:space="preserve">Prises incompatibles</t>
  </si>
  <si>
    <t xml:space="preserve">Guangdong BESTEK</t>
  </si>
  <si>
    <t xml:space="preserve">Aéroport / Pharmacies</t>
  </si>
  <si>
    <t xml:space="preserve">Organisateur valise compressible</t>
  </si>
  <si>
    <t xml:space="preserve">Valise désorganisée</t>
  </si>
  <si>
    <t xml:space="preserve">Guangzhou Gonex</t>
  </si>
  <si>
    <t xml:space="preserve">Marché HLM Dakar</t>
  </si>
  <si>
    <t xml:space="preserve">Babyphone vidéo WiFi 360°</t>
  </si>
  <si>
    <t xml:space="preserve">Sécurité bébé</t>
  </si>
  <si>
    <t xml:space="preserve">Shenzhen Infant Optics CN</t>
  </si>
  <si>
    <t xml:space="preserve">Montre GPS enfant 4G</t>
  </si>
  <si>
    <t xml:space="preserve">Sécurité enfant à l'école</t>
  </si>
  <si>
    <t xml:space="preserve">Shenzhen Wonlex</t>
  </si>
  <si>
    <t xml:space="preserve">Stérilisateur UV portable</t>
  </si>
  <si>
    <t xml:space="preserve">Microbes tétines / biberon</t>
  </si>
  <si>
    <t xml:space="preserve">Shenzhen 59S UV</t>
  </si>
  <si>
    <t xml:space="preserve">Brosse à dents électrique enfant</t>
  </si>
  <si>
    <t xml:space="preserve">Caries enfants</t>
  </si>
  <si>
    <t xml:space="preserve">Shenzhen Oral-B CN</t>
  </si>
  <si>
    <t xml:space="preserve">Mini imprimante thermique A4 portable</t>
  </si>
  <si>
    <t xml:space="preserve">Impression hors bureau</t>
  </si>
  <si>
    <t xml:space="preserve">Shenzhen Peripage</t>
  </si>
  <si>
    <t xml:space="preserve">Webcam 4K micro intégré annulation bruit</t>
  </si>
  <si>
    <t xml:space="preserve">Visioconférence mauvaise qualité</t>
  </si>
  <si>
    <t xml:space="preserve">Shenzhen Logitech CN</t>
  </si>
  <si>
    <t xml:space="preserve">Lampe bureau LED + chargeur sans fil</t>
  </si>
  <si>
    <t xml:space="preserve">Bureau mal éclairé</t>
  </si>
  <si>
    <t xml:space="preserve">Guangzhou Baseus</t>
  </si>
  <si>
    <t xml:space="preserve">Stylet actif universel iPad/Android</t>
  </si>
  <si>
    <t xml:space="preserve">Prise de notes difficile</t>
  </si>
  <si>
    <t xml:space="preserve">Shenzhen ESR</t>
  </si>
  <si>
    <t xml:space="preserve">Clé USB 4-en-1 multiport 128GB</t>
  </si>
  <si>
    <t xml:space="preserve">Stockage insuffisant</t>
  </si>
  <si>
    <t xml:space="preserve">Shenzhen Kingston CN</t>
  </si>
  <si>
    <t xml:space="preserve">Aspirateur de table USB mini</t>
  </si>
  <si>
    <t xml:space="preserve">Poussière bureau</t>
  </si>
  <si>
    <t xml:space="preserve">Guangdong Baseus</t>
  </si>
  <si>
    <t xml:space="preserve">Mini imprimante photo instantanée Bluetooth</t>
  </si>
  <si>
    <t xml:space="preserve">Photos numériques non imprimées</t>
  </si>
  <si>
    <t xml:space="preserve">Shenzhen Peripage / Kodak CN</t>
  </si>
  <si>
    <t xml:space="preserve">Appareil anti-ronflement EMS</t>
  </si>
  <si>
    <t xml:space="preserve">Ronflement perturbe le couple</t>
  </si>
  <si>
    <t xml:space="preserve">Shenzhen Smart Health</t>
  </si>
  <si>
    <t xml:space="preserve">Masseur de pieds électrique</t>
  </si>
  <si>
    <t xml:space="preserve">Fatigue / douleurs pieds</t>
  </si>
  <si>
    <t xml:space="preserve">Dongguan Zyllion</t>
  </si>
  <si>
    <t xml:space="preserve">Humidificateur ultrasonique USB</t>
  </si>
  <si>
    <t xml:space="preserve">Air sec / gorge irritée</t>
  </si>
  <si>
    <t xml:space="preserve">Guangzhou Levoit CN</t>
  </si>
  <si>
    <t xml:space="preserve">Lampe UV anti-moustique portable</t>
  </si>
  <si>
    <t xml:space="preserve">Moustiques / paludisme</t>
  </si>
  <si>
    <t xml:space="preserve">Guangdong Aspectek</t>
  </si>
  <si>
    <t xml:space="preserve">Balance connectée impédancemètre</t>
  </si>
  <si>
    <t xml:space="preserve">Poids seul insuffisant</t>
  </si>
  <si>
    <t xml:space="preserve">Shenzhen Xiaomi Scale CN</t>
  </si>
  <si>
    <t xml:space="preserve">Mini caméra HD stylo discret</t>
  </si>
  <si>
    <t xml:space="preserve">Surveillance discrète</t>
  </si>
  <si>
    <t xml:space="preserve">Shenzhen BL BOLUOKE</t>
  </si>
  <si>
    <t xml:space="preserve">Imprimante étiquettes thermique Bluetooth</t>
  </si>
  <si>
    <t xml:space="preserve">Étiquetage produits boutique</t>
  </si>
  <si>
    <t xml:space="preserve">Shenzhen NIIMBOT</t>
  </si>
  <si>
    <t xml:space="preserve">Ring light RGB poche M160</t>
  </si>
  <si>
    <t xml:space="preserve">Éclairage créateur contenu</t>
  </si>
  <si>
    <t xml:space="preserve">Shenzhen Ulanzi</t>
  </si>
  <si>
    <t xml:space="preserve">Micro cravate sans fil Bluetooth</t>
  </si>
  <si>
    <t xml:space="preserve">Audio mauvais qualité vidéo</t>
  </si>
  <si>
    <t xml:space="preserve">Shenzhen Hollyland CN</t>
  </si>
  <si>
    <t xml:space="preserve">Drone pliable 4K GPS sous 249g</t>
  </si>
  <si>
    <t xml:space="preserve">Vidéos aériennes professionnelles</t>
  </si>
  <si>
    <t xml:space="preserve">Shenzhen Potensic / DJI CN</t>
  </si>
  <si>
    <t xml:space="preserve">TOTAUX / MOYENNES</t>
  </si>
  <si>
    <t xml:space="preserve">💡 CONSEILS &amp; STRATÉGIE IMPORT CHINE → SÉNÉGAL</t>
  </si>
  <si>
    <t xml:space="preserve">🌐 Commander sur Alibaba</t>
  </si>
  <si>
    <t xml:space="preserve">alibaba.com — Filtrer : Gold Supplier + Trade Assurance + 3+ ans d'activité</t>
  </si>
  <si>
    <t xml:space="preserve">📦 Livraison Chine → SN</t>
  </si>
  <si>
    <t xml:space="preserve">Maritime : 20-35 jours | Aérien : 5-10 jours | Freight : DHL, Alibaba Freight, China Post</t>
  </si>
  <si>
    <t xml:space="preserve">💰 Marge cible</t>
  </si>
  <si>
    <t xml:space="preserve">Minimum x2.5 à x4 du prix achat. Inclure frais transport (~15-20% du prix produit)</t>
  </si>
  <si>
    <t xml:space="preserve">⚡ Opportunités exclusives SN</t>
  </si>
  <si>
    <t xml:space="preserve">Produits marqués ⚡ = Non disponibles au Sénégal = Avantage concurrentiel direct !</t>
  </si>
  <si>
    <t xml:space="preserve">📱 Fournisseurs locaux clés</t>
  </si>
  <si>
    <t xml:space="preserve">GMC Electronique (TikTok/Dakar) | Jumia SN | Marché Colobane | Sandaga | Dakar Informatique (Plateau)</t>
  </si>
  <si>
    <t xml:space="preserve">🔑 Critères sélection produit</t>
  </si>
  <si>
    <t xml:space="preserve">1. Résout un problème réel  2. Démontrable en vidéo  3. Prix achat bas  4. Fort besoin quotidien</t>
  </si>
  <si>
    <t xml:space="preserve">📊 Catégories top marge</t>
  </si>
  <si>
    <t xml:space="preserve">Santé &amp; bien-être | Maison connectée | Accessoires téléphone | Énergie solaire</t>
  </si>
  <si>
    <t xml:space="preserve">🚀 Stratégie TikTok/Réseaux</t>
  </si>
  <si>
    <t xml:space="preserve">Filmer le déballage + la démonstration = contenu viral → commandes directes</t>
  </si>
  <si>
    <t xml:space="preserve">⚠️ Attention douanes SN</t>
  </si>
  <si>
    <t xml:space="preserve">Déclarer correctement. Éviter lots trop importants pour 1er envoi. Tester avec 10-20 unités.</t>
  </si>
  <si>
    <t xml:space="preserve">📞 Négociation Alibaba</t>
  </si>
  <si>
    <t xml:space="preserve">Demander échantillon d'abord. Négocier -20% si commande &gt;50 unités. Toujours payer via Trade Assurance.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</si>
</sst>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E6BB8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1A7A4A"/>
      <name val="Arial"/>
      <family val="0"/>
      <charset val="1"/>
    </font>
    <font>
      <sz val="10"/>
      <color rgb="FFC0392B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1E6BB8"/>
      <name val="Arial"/>
      <family val="0"/>
      <charset val="1"/>
    </font>
    <font>
      <sz val="10"/>
      <color rgb="FF333333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E6BB8"/>
        <bgColor rgb="FF3366FF"/>
      </patternFill>
    </fill>
    <fill>
      <patternFill patternType="solid">
        <fgColor rgb="FFD6E8FA"/>
        <bgColor rgb="FFD6F0E3"/>
      </patternFill>
    </fill>
    <fill>
      <patternFill patternType="solid">
        <fgColor rgb="FFA8CFED"/>
        <bgColor rgb="FFCCCCFF"/>
      </patternFill>
    </fill>
    <fill>
      <patternFill patternType="solid">
        <fgColor rgb="FFF5F7FA"/>
        <bgColor rgb="FFFFFFFF"/>
      </patternFill>
    </fill>
    <fill>
      <patternFill patternType="solid">
        <fgColor rgb="FFFFF0D0"/>
        <bgColor rgb="FFF5F7FA"/>
      </patternFill>
    </fill>
    <fill>
      <patternFill patternType="solid">
        <fgColor rgb="FFD6F0E3"/>
        <bgColor rgb="FFD6E8FA"/>
      </patternFill>
    </fill>
    <fill>
      <patternFill patternType="solid">
        <fgColor rgb="FFFFFFFF"/>
        <bgColor rgb="FFF5F7FA"/>
      </patternFill>
    </fill>
    <fill>
      <patternFill patternType="solid">
        <fgColor rgb="FF1A7A4A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1E6BB8"/>
      </left>
      <right style="medium">
        <color rgb="FF1E6BB8"/>
      </right>
      <top style="medium">
        <color rgb="FF1E6BB8"/>
      </top>
      <bottom style="medium">
        <color rgb="FF1E6BB8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4A"/>
      <rgbColor rgb="FFCCCCCC"/>
      <rgbColor rgb="FF808080"/>
      <rgbColor rgb="FF9999FF"/>
      <rgbColor rgb="FF993366"/>
      <rgbColor rgb="FFFFF0D0"/>
      <rgbColor rgb="FFD6E8FA"/>
      <rgbColor rgb="FF660066"/>
      <rgbColor rgb="FFFF8080"/>
      <rgbColor rgb="FF1E6BB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D6F0E3"/>
      <rgbColor rgb="FFFFFF99"/>
      <rgbColor rgb="FFA8CFE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222222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5" min="4" style="0" width="18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2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27.75" hidden="false" customHeight="true" outlineLevel="0" collapsed="false">
      <c r="A4" s="4" t="n">
        <v>1</v>
      </c>
      <c r="B4" s="5" t="s">
        <v>10</v>
      </c>
      <c r="C4" s="5" t="s">
        <v>11</v>
      </c>
      <c r="D4" s="6" t="n">
        <v>8000</v>
      </c>
      <c r="E4" s="7" t="n">
        <v>25000</v>
      </c>
      <c r="F4" s="8" t="str">
        <f aca="false">ROUND((E4-D4)/D4*100,1)&amp;"%"</f>
        <v>212.5%</v>
      </c>
      <c r="G4" s="5" t="s">
        <v>12</v>
      </c>
      <c r="H4" s="5" t="s">
        <v>13</v>
      </c>
    </row>
    <row r="5" customFormat="false" ht="27.75" hidden="false" customHeight="true" outlineLevel="0" collapsed="false">
      <c r="A5" s="4" t="n">
        <v>2</v>
      </c>
      <c r="B5" s="9" t="s">
        <v>14</v>
      </c>
      <c r="C5" s="9" t="s">
        <v>15</v>
      </c>
      <c r="D5" s="6" t="n">
        <v>3000</v>
      </c>
      <c r="E5" s="7" t="n">
        <v>12000</v>
      </c>
      <c r="F5" s="8" t="str">
        <f aca="false">ROUND((E5-D5)/D5*100,1)&amp;"%"</f>
        <v>300%</v>
      </c>
      <c r="G5" s="9" t="s">
        <v>16</v>
      </c>
      <c r="H5" s="9" t="s">
        <v>17</v>
      </c>
    </row>
    <row r="6" customFormat="false" ht="27.75" hidden="false" customHeight="true" outlineLevel="0" collapsed="false">
      <c r="A6" s="4" t="n">
        <v>3</v>
      </c>
      <c r="B6" s="5" t="s">
        <v>18</v>
      </c>
      <c r="C6" s="5" t="s">
        <v>19</v>
      </c>
      <c r="D6" s="6" t="n">
        <v>4000</v>
      </c>
      <c r="E6" s="7" t="n">
        <v>15000</v>
      </c>
      <c r="F6" s="8" t="str">
        <f aca="false">ROUND((E6-D6)/D6*100,1)&amp;"%"</f>
        <v>275%</v>
      </c>
      <c r="G6" s="5" t="s">
        <v>20</v>
      </c>
      <c r="H6" s="5" t="s">
        <v>21</v>
      </c>
    </row>
    <row r="7" customFormat="false" ht="27.75" hidden="false" customHeight="true" outlineLevel="0" collapsed="false">
      <c r="A7" s="4" t="n">
        <v>4</v>
      </c>
      <c r="B7" s="9" t="s">
        <v>22</v>
      </c>
      <c r="C7" s="9" t="s">
        <v>23</v>
      </c>
      <c r="D7" s="6" t="n">
        <v>10000</v>
      </c>
      <c r="E7" s="7" t="n">
        <v>35000</v>
      </c>
      <c r="F7" s="8" t="str">
        <f aca="false">ROUND((E7-D7)/D7*100,1)&amp;"%"</f>
        <v>250%</v>
      </c>
      <c r="G7" s="9" t="s">
        <v>24</v>
      </c>
      <c r="H7" s="9" t="s">
        <v>25</v>
      </c>
    </row>
    <row r="8" customFormat="false" ht="27.75" hidden="false" customHeight="true" outlineLevel="0" collapsed="false">
      <c r="A8" s="4" t="n">
        <v>5</v>
      </c>
      <c r="B8" s="5" t="s">
        <v>26</v>
      </c>
      <c r="C8" s="5" t="s">
        <v>27</v>
      </c>
      <c r="D8" s="6" t="n">
        <v>7000</v>
      </c>
      <c r="E8" s="7" t="n">
        <v>22000</v>
      </c>
      <c r="F8" s="8" t="str">
        <f aca="false">ROUND((E8-D8)/D8*100,1)&amp;"%"</f>
        <v>214.3%</v>
      </c>
      <c r="G8" s="5" t="s">
        <v>28</v>
      </c>
      <c r="H8" s="5" t="s">
        <v>25</v>
      </c>
    </row>
    <row r="9" customFormat="false" ht="27.75" hidden="false" customHeight="true" outlineLevel="0" collapsed="false">
      <c r="A9" s="4" t="n">
        <v>6</v>
      </c>
      <c r="B9" s="9" t="s">
        <v>29</v>
      </c>
      <c r="C9" s="9" t="s">
        <v>30</v>
      </c>
      <c r="D9" s="6" t="n">
        <v>1500</v>
      </c>
      <c r="E9" s="7" t="n">
        <v>6000</v>
      </c>
      <c r="F9" s="8" t="str">
        <f aca="false">ROUND((E9-D9)/D9*100,1)&amp;"%"</f>
        <v>300%</v>
      </c>
      <c r="G9" s="9" t="s">
        <v>31</v>
      </c>
      <c r="H9" s="9" t="s">
        <v>32</v>
      </c>
    </row>
    <row r="10" customFormat="false" ht="27.75" hidden="false" customHeight="true" outlineLevel="0" collapsed="false">
      <c r="A10" s="4" t="n">
        <v>7</v>
      </c>
      <c r="B10" s="5" t="s">
        <v>33</v>
      </c>
      <c r="C10" s="5" t="s">
        <v>34</v>
      </c>
      <c r="D10" s="6" t="n">
        <v>2000</v>
      </c>
      <c r="E10" s="7" t="n">
        <v>8000</v>
      </c>
      <c r="F10" s="8" t="str">
        <f aca="false">ROUND((E10-D10)/D10*100,1)&amp;"%"</f>
        <v>300%</v>
      </c>
      <c r="G10" s="5" t="s">
        <v>35</v>
      </c>
      <c r="H10" s="5" t="s">
        <v>36</v>
      </c>
    </row>
    <row r="11" customFormat="false" ht="27.75" hidden="false" customHeight="true" outlineLevel="0" collapsed="false">
      <c r="A11" s="4" t="n">
        <v>8</v>
      </c>
      <c r="B11" s="9" t="s">
        <v>37</v>
      </c>
      <c r="C11" s="9" t="s">
        <v>38</v>
      </c>
      <c r="D11" s="6" t="n">
        <v>12000</v>
      </c>
      <c r="E11" s="7" t="n">
        <v>40000</v>
      </c>
      <c r="F11" s="8" t="str">
        <f aca="false">ROUND((E11-D11)/D11*100,1)&amp;"%"</f>
        <v>233.3%</v>
      </c>
      <c r="G11" s="9" t="s">
        <v>39</v>
      </c>
      <c r="H11" s="10" t="s">
        <v>40</v>
      </c>
    </row>
    <row r="12" customFormat="false" ht="27.75" hidden="false" customHeight="true" outlineLevel="0" collapsed="false">
      <c r="A12" s="4" t="n">
        <v>9</v>
      </c>
      <c r="B12" s="5" t="s">
        <v>41</v>
      </c>
      <c r="C12" s="5" t="s">
        <v>42</v>
      </c>
      <c r="D12" s="6" t="n">
        <v>15000</v>
      </c>
      <c r="E12" s="7" t="n">
        <v>50000</v>
      </c>
      <c r="F12" s="8" t="str">
        <f aca="false">ROUND((E12-D12)/D12*100,1)&amp;"%"</f>
        <v>233.3%</v>
      </c>
      <c r="G12" s="5" t="s">
        <v>43</v>
      </c>
      <c r="H12" s="10" t="s">
        <v>40</v>
      </c>
    </row>
    <row r="13" customFormat="false" ht="27.75" hidden="false" customHeight="true" outlineLevel="0" collapsed="false">
      <c r="A13" s="4" t="n">
        <v>10</v>
      </c>
      <c r="B13" s="9" t="s">
        <v>44</v>
      </c>
      <c r="C13" s="9" t="s">
        <v>45</v>
      </c>
      <c r="D13" s="6" t="n">
        <v>8000</v>
      </c>
      <c r="E13" s="7" t="n">
        <v>28000</v>
      </c>
      <c r="F13" s="8" t="str">
        <f aca="false">ROUND((E13-D13)/D13*100,1)&amp;"%"</f>
        <v>250%</v>
      </c>
      <c r="G13" s="9" t="s">
        <v>46</v>
      </c>
      <c r="H13" s="10" t="s">
        <v>40</v>
      </c>
    </row>
    <row r="14" customFormat="false" ht="27.75" hidden="false" customHeight="true" outlineLevel="0" collapsed="false">
      <c r="A14" s="4" t="n">
        <v>11</v>
      </c>
      <c r="B14" s="5" t="s">
        <v>47</v>
      </c>
      <c r="C14" s="5" t="s">
        <v>48</v>
      </c>
      <c r="D14" s="6" t="n">
        <v>5000</v>
      </c>
      <c r="E14" s="7" t="n">
        <v>18000</v>
      </c>
      <c r="F14" s="8" t="str">
        <f aca="false">ROUND((E14-D14)/D14*100,1)&amp;"%"</f>
        <v>260%</v>
      </c>
      <c r="G14" s="5" t="s">
        <v>49</v>
      </c>
      <c r="H14" s="5" t="s">
        <v>50</v>
      </c>
    </row>
    <row r="15" customFormat="false" ht="27.75" hidden="false" customHeight="true" outlineLevel="0" collapsed="false">
      <c r="A15" s="4" t="n">
        <v>12</v>
      </c>
      <c r="B15" s="9" t="s">
        <v>51</v>
      </c>
      <c r="C15" s="9" t="s">
        <v>52</v>
      </c>
      <c r="D15" s="6" t="n">
        <v>4000</v>
      </c>
      <c r="E15" s="7" t="n">
        <v>14000</v>
      </c>
      <c r="F15" s="8" t="str">
        <f aca="false">ROUND((E15-D15)/D15*100,1)&amp;"%"</f>
        <v>250%</v>
      </c>
      <c r="G15" s="9" t="s">
        <v>53</v>
      </c>
      <c r="H15" s="10" t="s">
        <v>40</v>
      </c>
    </row>
    <row r="16" customFormat="false" ht="27.75" hidden="false" customHeight="true" outlineLevel="0" collapsed="false">
      <c r="A16" s="4" t="n">
        <v>13</v>
      </c>
      <c r="B16" s="5" t="s">
        <v>54</v>
      </c>
      <c r="C16" s="5" t="s">
        <v>55</v>
      </c>
      <c r="D16" s="6" t="n">
        <v>25000</v>
      </c>
      <c r="E16" s="7" t="n">
        <v>75000</v>
      </c>
      <c r="F16" s="8" t="str">
        <f aca="false">ROUND((E16-D16)/D16*100,1)&amp;"%"</f>
        <v>200%</v>
      </c>
      <c r="G16" s="5" t="s">
        <v>56</v>
      </c>
      <c r="H16" s="5" t="s">
        <v>57</v>
      </c>
    </row>
    <row r="17" customFormat="false" ht="27.75" hidden="false" customHeight="true" outlineLevel="0" collapsed="false">
      <c r="A17" s="4" t="n">
        <v>14</v>
      </c>
      <c r="B17" s="9" t="s">
        <v>58</v>
      </c>
      <c r="C17" s="9" t="s">
        <v>59</v>
      </c>
      <c r="D17" s="6" t="n">
        <v>6000</v>
      </c>
      <c r="E17" s="7" t="n">
        <v>20000</v>
      </c>
      <c r="F17" s="8" t="str">
        <f aca="false">ROUND((E17-D17)/D17*100,1)&amp;"%"</f>
        <v>233.3%</v>
      </c>
      <c r="G17" s="9" t="s">
        <v>60</v>
      </c>
      <c r="H17" s="10" t="s">
        <v>40</v>
      </c>
    </row>
    <row r="18" customFormat="false" ht="27.75" hidden="false" customHeight="true" outlineLevel="0" collapsed="false">
      <c r="A18" s="4" t="n">
        <v>15</v>
      </c>
      <c r="B18" s="5" t="s">
        <v>61</v>
      </c>
      <c r="C18" s="5" t="s">
        <v>62</v>
      </c>
      <c r="D18" s="6" t="n">
        <v>3500</v>
      </c>
      <c r="E18" s="7" t="n">
        <v>12000</v>
      </c>
      <c r="F18" s="8" t="str">
        <f aca="false">ROUND((E18-D18)/D18*100,1)&amp;"%"</f>
        <v>242.9%</v>
      </c>
      <c r="G18" s="5" t="s">
        <v>63</v>
      </c>
      <c r="H18" s="5" t="s">
        <v>50</v>
      </c>
    </row>
    <row r="19" customFormat="false" ht="27.75" hidden="false" customHeight="true" outlineLevel="0" collapsed="false">
      <c r="A19" s="4" t="n">
        <v>16</v>
      </c>
      <c r="B19" s="9" t="s">
        <v>64</v>
      </c>
      <c r="C19" s="9" t="s">
        <v>65</v>
      </c>
      <c r="D19" s="6" t="n">
        <v>45000</v>
      </c>
      <c r="E19" s="7" t="n">
        <v>120000</v>
      </c>
      <c r="F19" s="8" t="str">
        <f aca="false">ROUND((E19-D19)/D19*100,1)&amp;"%"</f>
        <v>166.7%</v>
      </c>
      <c r="G19" s="9" t="s">
        <v>66</v>
      </c>
      <c r="H19" s="9" t="s">
        <v>67</v>
      </c>
    </row>
    <row r="20" customFormat="false" ht="27.75" hidden="false" customHeight="true" outlineLevel="0" collapsed="false">
      <c r="A20" s="4" t="n">
        <v>17</v>
      </c>
      <c r="B20" s="5" t="s">
        <v>68</v>
      </c>
      <c r="C20" s="5" t="s">
        <v>69</v>
      </c>
      <c r="D20" s="6" t="n">
        <v>120000</v>
      </c>
      <c r="E20" s="7" t="n">
        <v>300000</v>
      </c>
      <c r="F20" s="8" t="str">
        <f aca="false">ROUND((E20-D20)/D20*100,1)&amp;"%"</f>
        <v>150%</v>
      </c>
      <c r="G20" s="5" t="s">
        <v>70</v>
      </c>
      <c r="H20" s="10" t="s">
        <v>40</v>
      </c>
    </row>
    <row r="21" customFormat="false" ht="27.75" hidden="false" customHeight="true" outlineLevel="0" collapsed="false">
      <c r="A21" s="4" t="n">
        <v>18</v>
      </c>
      <c r="B21" s="9" t="s">
        <v>71</v>
      </c>
      <c r="C21" s="9" t="s">
        <v>72</v>
      </c>
      <c r="D21" s="6" t="n">
        <v>8000</v>
      </c>
      <c r="E21" s="7" t="n">
        <v>25000</v>
      </c>
      <c r="F21" s="8" t="str">
        <f aca="false">ROUND((E21-D21)/D21*100,1)&amp;"%"</f>
        <v>212.5%</v>
      </c>
      <c r="G21" s="9" t="s">
        <v>73</v>
      </c>
      <c r="H21" s="9" t="s">
        <v>21</v>
      </c>
    </row>
    <row r="22" customFormat="false" ht="27.75" hidden="false" customHeight="true" outlineLevel="0" collapsed="false">
      <c r="A22" s="4" t="n">
        <v>19</v>
      </c>
      <c r="B22" s="5" t="s">
        <v>74</v>
      </c>
      <c r="C22" s="5" t="s">
        <v>75</v>
      </c>
      <c r="D22" s="6" t="n">
        <v>2000</v>
      </c>
      <c r="E22" s="7" t="n">
        <v>7000</v>
      </c>
      <c r="F22" s="8" t="str">
        <f aca="false">ROUND((E22-D22)/D22*100,1)&amp;"%"</f>
        <v>250%</v>
      </c>
      <c r="G22" s="5" t="s">
        <v>76</v>
      </c>
      <c r="H22" s="5" t="s">
        <v>77</v>
      </c>
    </row>
    <row r="23" customFormat="false" ht="27.75" hidden="false" customHeight="true" outlineLevel="0" collapsed="false">
      <c r="A23" s="4" t="n">
        <v>20</v>
      </c>
      <c r="B23" s="9" t="s">
        <v>78</v>
      </c>
      <c r="C23" s="9" t="s">
        <v>79</v>
      </c>
      <c r="D23" s="6" t="n">
        <v>12000</v>
      </c>
      <c r="E23" s="7" t="n">
        <v>35000</v>
      </c>
      <c r="F23" s="8" t="str">
        <f aca="false">ROUND((E23-D23)/D23*100,1)&amp;"%"</f>
        <v>191.7%</v>
      </c>
      <c r="G23" s="9" t="s">
        <v>73</v>
      </c>
      <c r="H23" s="9" t="s">
        <v>21</v>
      </c>
    </row>
    <row r="24" customFormat="false" ht="27.75" hidden="false" customHeight="true" outlineLevel="0" collapsed="false">
      <c r="A24" s="4" t="n">
        <v>21</v>
      </c>
      <c r="B24" s="5" t="s">
        <v>80</v>
      </c>
      <c r="C24" s="5" t="s">
        <v>81</v>
      </c>
      <c r="D24" s="6" t="n">
        <v>3000</v>
      </c>
      <c r="E24" s="7" t="n">
        <v>10000</v>
      </c>
      <c r="F24" s="8" t="str">
        <f aca="false">ROUND((E24-D24)/D24*100,1)&amp;"%"</f>
        <v>233.3%</v>
      </c>
      <c r="G24" s="5" t="s">
        <v>82</v>
      </c>
      <c r="H24" s="5" t="s">
        <v>77</v>
      </c>
    </row>
    <row r="25" customFormat="false" ht="27.75" hidden="false" customHeight="true" outlineLevel="0" collapsed="false">
      <c r="A25" s="4" t="n">
        <v>22</v>
      </c>
      <c r="B25" s="9" t="s">
        <v>83</v>
      </c>
      <c r="C25" s="9" t="s">
        <v>84</v>
      </c>
      <c r="D25" s="6" t="n">
        <v>4000</v>
      </c>
      <c r="E25" s="7" t="n">
        <v>14000</v>
      </c>
      <c r="F25" s="8" t="str">
        <f aca="false">ROUND((E25-D25)/D25*100,1)&amp;"%"</f>
        <v>250%</v>
      </c>
      <c r="G25" s="9" t="s">
        <v>85</v>
      </c>
      <c r="H25" s="9" t="s">
        <v>50</v>
      </c>
    </row>
    <row r="26" customFormat="false" ht="27.75" hidden="false" customHeight="true" outlineLevel="0" collapsed="false">
      <c r="A26" s="4" t="n">
        <v>23</v>
      </c>
      <c r="B26" s="5" t="s">
        <v>86</v>
      </c>
      <c r="C26" s="5" t="s">
        <v>87</v>
      </c>
      <c r="D26" s="6" t="n">
        <v>5000</v>
      </c>
      <c r="E26" s="7" t="n">
        <v>16000</v>
      </c>
      <c r="F26" s="8" t="str">
        <f aca="false">ROUND((E26-D26)/D26*100,1)&amp;"%"</f>
        <v>220%</v>
      </c>
      <c r="G26" s="5" t="s">
        <v>88</v>
      </c>
      <c r="H26" s="5" t="s">
        <v>21</v>
      </c>
    </row>
    <row r="27" customFormat="false" ht="27.75" hidden="false" customHeight="true" outlineLevel="0" collapsed="false">
      <c r="A27" s="4" t="n">
        <v>24</v>
      </c>
      <c r="B27" s="9" t="s">
        <v>89</v>
      </c>
      <c r="C27" s="9" t="s">
        <v>90</v>
      </c>
      <c r="D27" s="6" t="n">
        <v>3000</v>
      </c>
      <c r="E27" s="7" t="n">
        <v>10000</v>
      </c>
      <c r="F27" s="8" t="str">
        <f aca="false">ROUND((E27-D27)/D27*100,1)&amp;"%"</f>
        <v>233.3%</v>
      </c>
      <c r="G27" s="9" t="s">
        <v>91</v>
      </c>
      <c r="H27" s="9" t="s">
        <v>77</v>
      </c>
    </row>
    <row r="28" customFormat="false" ht="27.75" hidden="false" customHeight="true" outlineLevel="0" collapsed="false">
      <c r="A28" s="4" t="n">
        <v>25</v>
      </c>
      <c r="B28" s="5" t="s">
        <v>92</v>
      </c>
      <c r="C28" s="5" t="s">
        <v>93</v>
      </c>
      <c r="D28" s="6" t="n">
        <v>8000</v>
      </c>
      <c r="E28" s="7" t="n">
        <v>28000</v>
      </c>
      <c r="F28" s="8" t="str">
        <f aca="false">ROUND((E28-D28)/D28*100,1)&amp;"%"</f>
        <v>250%</v>
      </c>
      <c r="G28" s="5" t="s">
        <v>94</v>
      </c>
      <c r="H28" s="10" t="s">
        <v>40</v>
      </c>
    </row>
    <row r="29" customFormat="false" ht="27.75" hidden="false" customHeight="true" outlineLevel="0" collapsed="false">
      <c r="A29" s="4" t="n">
        <v>26</v>
      </c>
      <c r="B29" s="9" t="s">
        <v>95</v>
      </c>
      <c r="C29" s="9" t="s">
        <v>96</v>
      </c>
      <c r="D29" s="6" t="n">
        <v>7000</v>
      </c>
      <c r="E29" s="7" t="n">
        <v>22000</v>
      </c>
      <c r="F29" s="8" t="str">
        <f aca="false">ROUND((E29-D29)/D29*100,1)&amp;"%"</f>
        <v>214.3%</v>
      </c>
      <c r="G29" s="9" t="s">
        <v>97</v>
      </c>
      <c r="H29" s="9" t="s">
        <v>36</v>
      </c>
    </row>
    <row r="30" customFormat="false" ht="27.75" hidden="false" customHeight="true" outlineLevel="0" collapsed="false">
      <c r="A30" s="4" t="n">
        <v>27</v>
      </c>
      <c r="B30" s="5" t="s">
        <v>98</v>
      </c>
      <c r="C30" s="5" t="s">
        <v>99</v>
      </c>
      <c r="D30" s="6" t="n">
        <v>20000</v>
      </c>
      <c r="E30" s="7" t="n">
        <v>60000</v>
      </c>
      <c r="F30" s="8" t="str">
        <f aca="false">ROUND((E30-D30)/D30*100,1)&amp;"%"</f>
        <v>200%</v>
      </c>
      <c r="G30" s="5" t="s">
        <v>100</v>
      </c>
      <c r="H30" s="10" t="s">
        <v>40</v>
      </c>
    </row>
    <row r="31" customFormat="false" ht="27.75" hidden="false" customHeight="true" outlineLevel="0" collapsed="false">
      <c r="A31" s="4" t="n">
        <v>28</v>
      </c>
      <c r="B31" s="9" t="s">
        <v>101</v>
      </c>
      <c r="C31" s="9" t="s">
        <v>102</v>
      </c>
      <c r="D31" s="6" t="n">
        <v>4000</v>
      </c>
      <c r="E31" s="7" t="n">
        <v>13000</v>
      </c>
      <c r="F31" s="8" t="str">
        <f aca="false">ROUND((E31-D31)/D31*100,1)&amp;"%"</f>
        <v>225%</v>
      </c>
      <c r="G31" s="9" t="s">
        <v>103</v>
      </c>
      <c r="H31" s="9" t="s">
        <v>104</v>
      </c>
    </row>
    <row r="32" customFormat="false" ht="27.75" hidden="false" customHeight="true" outlineLevel="0" collapsed="false">
      <c r="A32" s="4" t="n">
        <v>29</v>
      </c>
      <c r="B32" s="5" t="s">
        <v>105</v>
      </c>
      <c r="C32" s="5" t="s">
        <v>106</v>
      </c>
      <c r="D32" s="6" t="n">
        <v>5000</v>
      </c>
      <c r="E32" s="7" t="n">
        <v>16000</v>
      </c>
      <c r="F32" s="8" t="str">
        <f aca="false">ROUND((E32-D32)/D32*100,1)&amp;"%"</f>
        <v>220%</v>
      </c>
      <c r="G32" s="5" t="s">
        <v>107</v>
      </c>
      <c r="H32" s="5" t="s">
        <v>108</v>
      </c>
    </row>
    <row r="33" customFormat="false" ht="27.75" hidden="false" customHeight="true" outlineLevel="0" collapsed="false">
      <c r="A33" s="4" t="n">
        <v>30</v>
      </c>
      <c r="B33" s="9" t="s">
        <v>109</v>
      </c>
      <c r="C33" s="9" t="s">
        <v>110</v>
      </c>
      <c r="D33" s="6" t="n">
        <v>18000</v>
      </c>
      <c r="E33" s="7" t="n">
        <v>55000</v>
      </c>
      <c r="F33" s="8" t="str">
        <f aca="false">ROUND((E33-D33)/D33*100,1)&amp;"%"</f>
        <v>205.6%</v>
      </c>
      <c r="G33" s="9" t="s">
        <v>111</v>
      </c>
      <c r="H33" s="10" t="s">
        <v>40</v>
      </c>
    </row>
    <row r="34" customFormat="false" ht="27.75" hidden="false" customHeight="true" outlineLevel="0" collapsed="false">
      <c r="A34" s="4" t="n">
        <v>31</v>
      </c>
      <c r="B34" s="5" t="s">
        <v>112</v>
      </c>
      <c r="C34" s="5" t="s">
        <v>113</v>
      </c>
      <c r="D34" s="6" t="n">
        <v>25000</v>
      </c>
      <c r="E34" s="7" t="n">
        <v>70000</v>
      </c>
      <c r="F34" s="8" t="str">
        <f aca="false">ROUND((E34-D34)/D34*100,1)&amp;"%"</f>
        <v>180%</v>
      </c>
      <c r="G34" s="5" t="s">
        <v>114</v>
      </c>
      <c r="H34" s="10" t="s">
        <v>40</v>
      </c>
    </row>
    <row r="35" customFormat="false" ht="27.75" hidden="false" customHeight="true" outlineLevel="0" collapsed="false">
      <c r="A35" s="4" t="n">
        <v>32</v>
      </c>
      <c r="B35" s="9" t="s">
        <v>115</v>
      </c>
      <c r="C35" s="9" t="s">
        <v>116</v>
      </c>
      <c r="D35" s="6" t="n">
        <v>8000</v>
      </c>
      <c r="E35" s="7" t="n">
        <v>25000</v>
      </c>
      <c r="F35" s="8" t="str">
        <f aca="false">ROUND((E35-D35)/D35*100,1)&amp;"%"</f>
        <v>212.5%</v>
      </c>
      <c r="G35" s="9" t="s">
        <v>117</v>
      </c>
      <c r="H35" s="9" t="s">
        <v>17</v>
      </c>
    </row>
    <row r="36" customFormat="false" ht="27.75" hidden="false" customHeight="true" outlineLevel="0" collapsed="false">
      <c r="A36" s="4" t="n">
        <v>33</v>
      </c>
      <c r="B36" s="5" t="s">
        <v>118</v>
      </c>
      <c r="C36" s="5" t="s">
        <v>119</v>
      </c>
      <c r="D36" s="6" t="n">
        <v>6000</v>
      </c>
      <c r="E36" s="7" t="n">
        <v>20000</v>
      </c>
      <c r="F36" s="8" t="str">
        <f aca="false">ROUND((E36-D36)/D36*100,1)&amp;"%"</f>
        <v>233.3%</v>
      </c>
      <c r="G36" s="5" t="s">
        <v>120</v>
      </c>
      <c r="H36" s="5" t="s">
        <v>17</v>
      </c>
    </row>
    <row r="37" customFormat="false" ht="27.75" hidden="false" customHeight="true" outlineLevel="0" collapsed="false">
      <c r="A37" s="4" t="n">
        <v>34</v>
      </c>
      <c r="B37" s="9" t="s">
        <v>121</v>
      </c>
      <c r="C37" s="9" t="s">
        <v>122</v>
      </c>
      <c r="D37" s="6" t="n">
        <v>30000</v>
      </c>
      <c r="E37" s="7" t="n">
        <v>85000</v>
      </c>
      <c r="F37" s="8" t="str">
        <f aca="false">ROUND((E37-D37)/D37*100,1)&amp;"%"</f>
        <v>183.3%</v>
      </c>
      <c r="G37" s="9" t="s">
        <v>123</v>
      </c>
      <c r="H37" s="10" t="s">
        <v>40</v>
      </c>
    </row>
    <row r="38" customFormat="false" ht="27.75" hidden="false" customHeight="true" outlineLevel="0" collapsed="false">
      <c r="A38" s="4" t="n">
        <v>35</v>
      </c>
      <c r="B38" s="5" t="s">
        <v>124</v>
      </c>
      <c r="C38" s="5" t="s">
        <v>125</v>
      </c>
      <c r="D38" s="6" t="n">
        <v>20000</v>
      </c>
      <c r="E38" s="7" t="n">
        <v>60000</v>
      </c>
      <c r="F38" s="8" t="str">
        <f aca="false">ROUND((E38-D38)/D38*100,1)&amp;"%"</f>
        <v>200%</v>
      </c>
      <c r="G38" s="5" t="s">
        <v>126</v>
      </c>
      <c r="H38" s="5" t="s">
        <v>50</v>
      </c>
    </row>
    <row r="39" customFormat="false" ht="27.75" hidden="false" customHeight="true" outlineLevel="0" collapsed="false">
      <c r="A39" s="4" t="n">
        <v>36</v>
      </c>
      <c r="B39" s="9" t="s">
        <v>127</v>
      </c>
      <c r="C39" s="9" t="s">
        <v>128</v>
      </c>
      <c r="D39" s="6" t="n">
        <v>12000</v>
      </c>
      <c r="E39" s="7" t="n">
        <v>38000</v>
      </c>
      <c r="F39" s="8" t="str">
        <f aca="false">ROUND((E39-D39)/D39*100,1)&amp;"%"</f>
        <v>216.7%</v>
      </c>
      <c r="G39" s="9" t="s">
        <v>129</v>
      </c>
      <c r="H39" s="9" t="s">
        <v>50</v>
      </c>
    </row>
    <row r="40" customFormat="false" ht="27.75" hidden="false" customHeight="true" outlineLevel="0" collapsed="false">
      <c r="A40" s="4" t="n">
        <v>37</v>
      </c>
      <c r="B40" s="5" t="s">
        <v>130</v>
      </c>
      <c r="C40" s="5" t="s">
        <v>131</v>
      </c>
      <c r="D40" s="6" t="n">
        <v>6000</v>
      </c>
      <c r="E40" s="7" t="n">
        <v>20000</v>
      </c>
      <c r="F40" s="8" t="str">
        <f aca="false">ROUND((E40-D40)/D40*100,1)&amp;"%"</f>
        <v>233.3%</v>
      </c>
      <c r="G40" s="5" t="s">
        <v>132</v>
      </c>
      <c r="H40" s="5" t="s">
        <v>50</v>
      </c>
    </row>
    <row r="41" customFormat="false" ht="27.75" hidden="false" customHeight="true" outlineLevel="0" collapsed="false">
      <c r="A41" s="4" t="n">
        <v>38</v>
      </c>
      <c r="B41" s="9" t="s">
        <v>133</v>
      </c>
      <c r="C41" s="9" t="s">
        <v>134</v>
      </c>
      <c r="D41" s="6" t="n">
        <v>7000</v>
      </c>
      <c r="E41" s="7" t="n">
        <v>22000</v>
      </c>
      <c r="F41" s="8" t="str">
        <f aca="false">ROUND((E41-D41)/D41*100,1)&amp;"%"</f>
        <v>214.3%</v>
      </c>
      <c r="G41" s="9" t="s">
        <v>135</v>
      </c>
      <c r="H41" s="9" t="s">
        <v>77</v>
      </c>
    </row>
    <row r="42" customFormat="false" ht="27.75" hidden="false" customHeight="true" outlineLevel="0" collapsed="false">
      <c r="A42" s="4" t="n">
        <v>39</v>
      </c>
      <c r="B42" s="5" t="s">
        <v>136</v>
      </c>
      <c r="C42" s="5" t="s">
        <v>137</v>
      </c>
      <c r="D42" s="6" t="n">
        <v>4000</v>
      </c>
      <c r="E42" s="7" t="n">
        <v>13000</v>
      </c>
      <c r="F42" s="8" t="str">
        <f aca="false">ROUND((E42-D42)/D42*100,1)&amp;"%"</f>
        <v>225%</v>
      </c>
      <c r="G42" s="5" t="s">
        <v>138</v>
      </c>
      <c r="H42" s="5" t="s">
        <v>77</v>
      </c>
    </row>
    <row r="43" customFormat="false" ht="27.75" hidden="false" customHeight="true" outlineLevel="0" collapsed="false">
      <c r="A43" s="4" t="n">
        <v>40</v>
      </c>
      <c r="B43" s="9" t="s">
        <v>139</v>
      </c>
      <c r="C43" s="9" t="s">
        <v>140</v>
      </c>
      <c r="D43" s="6" t="n">
        <v>18000</v>
      </c>
      <c r="E43" s="7" t="n">
        <v>55000</v>
      </c>
      <c r="F43" s="8" t="str">
        <f aca="false">ROUND((E43-D43)/D43*100,1)&amp;"%"</f>
        <v>205.6%</v>
      </c>
      <c r="G43" s="9" t="s">
        <v>141</v>
      </c>
      <c r="H43" s="9" t="s">
        <v>21</v>
      </c>
    </row>
    <row r="44" customFormat="false" ht="27.75" hidden="false" customHeight="true" outlineLevel="0" collapsed="false">
      <c r="A44" s="4" t="n">
        <v>41</v>
      </c>
      <c r="B44" s="5" t="s">
        <v>142</v>
      </c>
      <c r="C44" s="5" t="s">
        <v>143</v>
      </c>
      <c r="D44" s="6" t="n">
        <v>10000</v>
      </c>
      <c r="E44" s="7" t="n">
        <v>32000</v>
      </c>
      <c r="F44" s="8" t="str">
        <f aca="false">ROUND((E44-D44)/D44*100,1)&amp;"%"</f>
        <v>220%</v>
      </c>
      <c r="G44" s="5" t="s">
        <v>144</v>
      </c>
      <c r="H44" s="10" t="s">
        <v>40</v>
      </c>
    </row>
    <row r="45" customFormat="false" ht="27.75" hidden="false" customHeight="true" outlineLevel="0" collapsed="false">
      <c r="A45" s="4" t="n">
        <v>42</v>
      </c>
      <c r="B45" s="9" t="s">
        <v>145</v>
      </c>
      <c r="C45" s="9" t="s">
        <v>146</v>
      </c>
      <c r="D45" s="6" t="n">
        <v>15000</v>
      </c>
      <c r="E45" s="7" t="n">
        <v>45000</v>
      </c>
      <c r="F45" s="8" t="str">
        <f aca="false">ROUND((E45-D45)/D45*100,1)&amp;"%"</f>
        <v>200%</v>
      </c>
      <c r="G45" s="9" t="s">
        <v>147</v>
      </c>
      <c r="H45" s="10" t="s">
        <v>40</v>
      </c>
    </row>
    <row r="46" customFormat="false" ht="27.75" hidden="false" customHeight="true" outlineLevel="0" collapsed="false">
      <c r="A46" s="4" t="n">
        <v>43</v>
      </c>
      <c r="B46" s="5" t="s">
        <v>148</v>
      </c>
      <c r="C46" s="5" t="s">
        <v>149</v>
      </c>
      <c r="D46" s="6" t="n">
        <v>5000</v>
      </c>
      <c r="E46" s="7" t="n">
        <v>16000</v>
      </c>
      <c r="F46" s="8" t="str">
        <f aca="false">ROUND((E46-D46)/D46*100,1)&amp;"%"</f>
        <v>220%</v>
      </c>
      <c r="G46" s="5" t="s">
        <v>150</v>
      </c>
      <c r="H46" s="5" t="s">
        <v>17</v>
      </c>
    </row>
    <row r="47" customFormat="false" ht="27.75" hidden="false" customHeight="true" outlineLevel="0" collapsed="false">
      <c r="A47" s="4" t="n">
        <v>44</v>
      </c>
      <c r="B47" s="9" t="s">
        <v>151</v>
      </c>
      <c r="C47" s="9" t="s">
        <v>152</v>
      </c>
      <c r="D47" s="6" t="n">
        <v>5000</v>
      </c>
      <c r="E47" s="7" t="n">
        <v>17000</v>
      </c>
      <c r="F47" s="8" t="str">
        <f aca="false">ROUND((E47-D47)/D47*100,1)&amp;"%"</f>
        <v>240%</v>
      </c>
      <c r="G47" s="9" t="s">
        <v>153</v>
      </c>
      <c r="H47" s="9" t="s">
        <v>36</v>
      </c>
    </row>
    <row r="48" customFormat="false" ht="27.75" hidden="false" customHeight="true" outlineLevel="0" collapsed="false">
      <c r="A48" s="4" t="n">
        <v>45</v>
      </c>
      <c r="B48" s="5" t="s">
        <v>154</v>
      </c>
      <c r="C48" s="5" t="s">
        <v>155</v>
      </c>
      <c r="D48" s="6" t="n">
        <v>10000</v>
      </c>
      <c r="E48" s="7" t="n">
        <v>32000</v>
      </c>
      <c r="F48" s="8" t="str">
        <f aca="false">ROUND((E48-D48)/D48*100,1)&amp;"%"</f>
        <v>220%</v>
      </c>
      <c r="G48" s="5" t="s">
        <v>156</v>
      </c>
      <c r="H48" s="10" t="s">
        <v>40</v>
      </c>
    </row>
    <row r="49" customFormat="false" ht="27.75" hidden="false" customHeight="true" outlineLevel="0" collapsed="false">
      <c r="A49" s="4" t="n">
        <v>46</v>
      </c>
      <c r="B49" s="9" t="s">
        <v>157</v>
      </c>
      <c r="C49" s="9" t="s">
        <v>158</v>
      </c>
      <c r="D49" s="6" t="n">
        <v>8000</v>
      </c>
      <c r="E49" s="7" t="n">
        <v>25000</v>
      </c>
      <c r="F49" s="8" t="str">
        <f aca="false">ROUND((E49-D49)/D49*100,1)&amp;"%"</f>
        <v>212.5%</v>
      </c>
      <c r="G49" s="9" t="s">
        <v>159</v>
      </c>
      <c r="H49" s="10" t="s">
        <v>40</v>
      </c>
    </row>
    <row r="50" customFormat="false" ht="27.75" hidden="false" customHeight="true" outlineLevel="0" collapsed="false">
      <c r="A50" s="4" t="n">
        <v>47</v>
      </c>
      <c r="B50" s="5" t="s">
        <v>160</v>
      </c>
      <c r="C50" s="5" t="s">
        <v>161</v>
      </c>
      <c r="D50" s="6" t="n">
        <v>20000</v>
      </c>
      <c r="E50" s="7" t="n">
        <v>60000</v>
      </c>
      <c r="F50" s="8" t="str">
        <f aca="false">ROUND((E50-D50)/D50*100,1)&amp;"%"</f>
        <v>200%</v>
      </c>
      <c r="G50" s="5" t="s">
        <v>162</v>
      </c>
      <c r="H50" s="5" t="s">
        <v>21</v>
      </c>
    </row>
    <row r="51" customFormat="false" ht="27.75" hidden="false" customHeight="true" outlineLevel="0" collapsed="false">
      <c r="A51" s="4" t="n">
        <v>48</v>
      </c>
      <c r="B51" s="9" t="s">
        <v>163</v>
      </c>
      <c r="C51" s="9" t="s">
        <v>164</v>
      </c>
      <c r="D51" s="6" t="n">
        <v>6000</v>
      </c>
      <c r="E51" s="7" t="n">
        <v>18000</v>
      </c>
      <c r="F51" s="8" t="str">
        <f aca="false">ROUND((E51-D51)/D51*100,1)&amp;"%"</f>
        <v>200%</v>
      </c>
      <c r="G51" s="9" t="s">
        <v>165</v>
      </c>
      <c r="H51" s="9" t="s">
        <v>21</v>
      </c>
    </row>
    <row r="52" customFormat="false" ht="27.75" hidden="false" customHeight="true" outlineLevel="0" collapsed="false">
      <c r="A52" s="4" t="n">
        <v>49</v>
      </c>
      <c r="B52" s="5" t="s">
        <v>166</v>
      </c>
      <c r="C52" s="5" t="s">
        <v>167</v>
      </c>
      <c r="D52" s="6" t="n">
        <v>15000</v>
      </c>
      <c r="E52" s="7" t="n">
        <v>45000</v>
      </c>
      <c r="F52" s="8" t="str">
        <f aca="false">ROUND((E52-D52)/D52*100,1)&amp;"%"</f>
        <v>200%</v>
      </c>
      <c r="G52" s="5" t="s">
        <v>168</v>
      </c>
      <c r="H52" s="5" t="s">
        <v>21</v>
      </c>
    </row>
    <row r="53" customFormat="false" ht="27.75" hidden="false" customHeight="true" outlineLevel="0" collapsed="false">
      <c r="A53" s="4" t="n">
        <v>50</v>
      </c>
      <c r="B53" s="9" t="s">
        <v>169</v>
      </c>
      <c r="C53" s="9" t="s">
        <v>170</v>
      </c>
      <c r="D53" s="6" t="n">
        <v>80000</v>
      </c>
      <c r="E53" s="7" t="n">
        <v>220000</v>
      </c>
      <c r="F53" s="8" t="str">
        <f aca="false">ROUND((E53-D53)/D53*100,1)&amp;"%"</f>
        <v>175%</v>
      </c>
      <c r="G53" s="9" t="s">
        <v>171</v>
      </c>
      <c r="H53" s="9" t="s">
        <v>21</v>
      </c>
    </row>
    <row r="54" customFormat="false" ht="15" hidden="false" customHeight="true" outlineLevel="0" collapsed="false">
      <c r="A54" s="11" t="s">
        <v>172</v>
      </c>
      <c r="B54" s="11"/>
      <c r="C54" s="11"/>
      <c r="D54" s="12" t="n">
        <f aca="false">SUM(D4:D53)</f>
        <v>688000</v>
      </c>
      <c r="E54" s="12" t="n">
        <f aca="false">SUM(E4:E53)</f>
        <v>2029000</v>
      </c>
      <c r="F54" s="13" t="str">
        <f aca="false">ROUND((E54-D54)/D54*100,1)&amp;"%"</f>
        <v>194.9%</v>
      </c>
      <c r="G54" s="14"/>
      <c r="H54" s="14"/>
    </row>
  </sheetData>
  <mergeCells count="3">
    <mergeCell ref="A1:H1"/>
    <mergeCell ref="A2:H2"/>
    <mergeCell ref="A54:C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4" min="3" style="0" width="5"/>
  </cols>
  <sheetData>
    <row r="1" customFormat="false" ht="30" hidden="false" customHeight="true" outlineLevel="0" collapsed="false">
      <c r="A1" s="15" t="s">
        <v>173</v>
      </c>
      <c r="B1" s="15"/>
      <c r="C1" s="15"/>
      <c r="D1" s="15"/>
    </row>
    <row r="2" customFormat="false" ht="30" hidden="false" customHeight="true" outlineLevel="0" collapsed="false">
      <c r="A2" s="16" t="s">
        <v>174</v>
      </c>
      <c r="B2" s="17" t="s">
        <v>175</v>
      </c>
      <c r="C2" s="17"/>
      <c r="D2" s="17"/>
    </row>
    <row r="3" customFormat="false" ht="30" hidden="false" customHeight="true" outlineLevel="0" collapsed="false">
      <c r="A3" s="18" t="s">
        <v>176</v>
      </c>
      <c r="B3" s="19" t="s">
        <v>177</v>
      </c>
      <c r="C3" s="19"/>
      <c r="D3" s="19"/>
    </row>
    <row r="4" customFormat="false" ht="30" hidden="false" customHeight="true" outlineLevel="0" collapsed="false">
      <c r="A4" s="16" t="s">
        <v>178</v>
      </c>
      <c r="B4" s="17" t="s">
        <v>179</v>
      </c>
      <c r="C4" s="17"/>
      <c r="D4" s="17"/>
    </row>
    <row r="5" customFormat="false" ht="30" hidden="false" customHeight="true" outlineLevel="0" collapsed="false">
      <c r="A5" s="18" t="s">
        <v>180</v>
      </c>
      <c r="B5" s="19" t="s">
        <v>181</v>
      </c>
      <c r="C5" s="19"/>
      <c r="D5" s="19"/>
    </row>
    <row r="6" customFormat="false" ht="30" hidden="false" customHeight="true" outlineLevel="0" collapsed="false">
      <c r="A6" s="16" t="s">
        <v>182</v>
      </c>
      <c r="B6" s="17" t="s">
        <v>183</v>
      </c>
      <c r="C6" s="17"/>
      <c r="D6" s="17"/>
    </row>
    <row r="7" customFormat="false" ht="30" hidden="false" customHeight="true" outlineLevel="0" collapsed="false">
      <c r="A7" s="18" t="s">
        <v>184</v>
      </c>
      <c r="B7" s="19" t="s">
        <v>185</v>
      </c>
      <c r="C7" s="19"/>
      <c r="D7" s="19"/>
    </row>
    <row r="8" customFormat="false" ht="30" hidden="false" customHeight="true" outlineLevel="0" collapsed="false">
      <c r="A8" s="16" t="s">
        <v>186</v>
      </c>
      <c r="B8" s="17" t="s">
        <v>187</v>
      </c>
      <c r="C8" s="17"/>
      <c r="D8" s="17"/>
    </row>
    <row r="9" customFormat="false" ht="30" hidden="false" customHeight="true" outlineLevel="0" collapsed="false">
      <c r="A9" s="18" t="s">
        <v>188</v>
      </c>
      <c r="B9" s="19" t="s">
        <v>189</v>
      </c>
      <c r="C9" s="19"/>
      <c r="D9" s="19"/>
    </row>
    <row r="10" customFormat="false" ht="30" hidden="false" customHeight="true" outlineLevel="0" collapsed="false">
      <c r="A10" s="16" t="s">
        <v>190</v>
      </c>
      <c r="B10" s="17" t="s">
        <v>191</v>
      </c>
      <c r="C10" s="17"/>
      <c r="D10" s="17"/>
    </row>
    <row r="11" customFormat="false" ht="30" hidden="false" customHeight="true" outlineLevel="0" collapsed="false">
      <c r="A11" s="18" t="s">
        <v>192</v>
      </c>
      <c r="B11" s="19" t="s">
        <v>193</v>
      </c>
      <c r="C11" s="19"/>
      <c r="D11" s="19"/>
    </row>
  </sheetData>
  <mergeCells count="11">
    <mergeCell ref="A1:D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2026-06-08T01:28:12Z</dcterms:created>
  <dc:creator>openpyxl</dc:creator>
  <dc:description/>
  <dc:language>en-US</dc:language>
  <cp:lastModifiedBy/>
  <dcterms:modified xsi:type="dcterms:W3CDTF">2026-06-08T01:28:12Z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